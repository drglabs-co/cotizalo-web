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2563EB"/>
      <sz val="18"/>
    </font>
    <font>
      <name val="Calibri"/>
      <i val="1"/>
      <color rgb="0064748B"/>
      <sz val="10"/>
    </font>
    <font>
      <name val="Calibri"/>
      <color rgb="002563EB"/>
      <sz val="9"/>
      <u val="single"/>
    </font>
    <font>
      <name val="Calibri"/>
      <b val="1"/>
      <color rgb="000F172A"/>
      <sz val="20"/>
    </font>
    <font>
      <name val="Calibri"/>
      <b val="1"/>
      <color rgb="00334155"/>
      <sz val="10"/>
    </font>
    <font>
      <name val="Calibri"/>
      <color rgb="00334155"/>
      <sz val="10"/>
    </font>
    <font>
      <name val="Calibri"/>
      <b val="1"/>
      <color rgb="002563EB"/>
      <sz val="9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b val="1"/>
      <color rgb="002563EB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2E8F0"/>
        <bgColor rgb="00E2E8F0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</border>
    <border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5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7" fillId="0" borderId="0" pivotButton="0" quotePrefix="0" xfId="0"/>
    <xf numFmtId="0" fontId="6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3" borderId="3" applyAlignment="1" pivotButton="0" quotePrefix="0" xfId="0">
      <alignment horizontal="right" vertical="center"/>
    </xf>
    <xf numFmtId="165" fontId="10" fillId="3" borderId="3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0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42" customWidth="1" min="2" max="2"/>
    <col width="10" customWidth="1" min="3" max="3"/>
    <col width="14" customWidth="1" min="4" max="4"/>
    <col width="18" customWidth="1" min="5" max="5"/>
    <col width="18" customWidth="1" min="6" max="6"/>
  </cols>
  <sheetData>
    <row r="2">
      <c r="A2" s="1" t="inlineStr">
        <is>
          <t>COTÍZALO</t>
        </is>
      </c>
      <c r="E2" s="2" t="inlineStr">
        <is>
          <t>COTIZACIÓN</t>
        </is>
      </c>
    </row>
    <row r="3">
      <c r="A3" s="3" t="inlineStr">
        <is>
          <t>Plantilla de Cotización Profesional</t>
        </is>
      </c>
      <c r="E3" s="4" t="inlineStr">
        <is>
          <t>FOLIO:</t>
        </is>
      </c>
      <c r="F3" s="4" t="inlineStr">
        <is>
          <t>COT-2026-001</t>
        </is>
      </c>
    </row>
    <row r="4">
      <c r="A4" s="5" t="inlineStr">
        <is>
          <t>www.cotizalo.net · Software de Cotizaciones para PyMEs</t>
        </is>
      </c>
      <c r="E4" s="6" t="inlineStr">
        <is>
          <t>FECHA:</t>
        </is>
      </c>
      <c r="F4" s="7">
        <f>TODAY()</f>
        <v/>
      </c>
    </row>
    <row r="5">
      <c r="E5" s="6" t="inlineStr">
        <is>
          <t>VENCE:</t>
        </is>
      </c>
      <c r="F5" s="7">
        <f>F4+15</f>
        <v/>
      </c>
    </row>
    <row r="7">
      <c r="A7" s="8" t="inlineStr">
        <is>
          <t>DATOS DEL EMISOR (TU EMPRESA)</t>
        </is>
      </c>
      <c r="D7" s="8" t="inlineStr">
        <is>
          <t>DATOS DEL CLIENTE</t>
        </is>
      </c>
    </row>
    <row r="8">
      <c r="A8" s="9" t="inlineStr">
        <is>
          <t>Empresa / Razón Social: Tu Negocio S.A. de C.V.</t>
        </is>
      </c>
      <c r="D8" s="9" t="inlineStr">
        <is>
          <t>Cliente: Empresa Cliente S.A. de C.V.</t>
        </is>
      </c>
    </row>
    <row r="9">
      <c r="A9" s="9" t="inlineStr">
        <is>
          <t>RFC: XAXX010101000 | Tel / WhatsApp: (55) 0000-0000</t>
        </is>
      </c>
      <c r="D9" s="9" t="inlineStr">
        <is>
          <t>RFC: ABC010101XYZ | Contacto: Lic. Juan Pérez</t>
        </is>
      </c>
    </row>
    <row r="10">
      <c r="A10" s="9" t="inlineStr">
        <is>
          <t>Email: ventas@tunegocio.com | CDMX, México</t>
        </is>
      </c>
      <c r="D10" s="9" t="inlineStr">
        <is>
          <t>Email: cliente@correo.com | Tel: (55) 9999-8888</t>
        </is>
      </c>
    </row>
    <row r="12" ht="24" customHeight="1">
      <c r="A12" s="10" t="inlineStr">
        <is>
          <t>ITEM</t>
        </is>
      </c>
      <c r="B12" s="11" t="inlineStr">
        <is>
          <t>DESCRIPCIÓN DEL PRODUCTO O SERVICIO</t>
        </is>
      </c>
      <c r="C12" s="10" t="inlineStr">
        <is>
          <t>CANT.</t>
        </is>
      </c>
      <c r="D12" s="10" t="inlineStr">
        <is>
          <t>UNIDAD</t>
        </is>
      </c>
      <c r="E12" s="12" t="inlineStr">
        <is>
          <t>PRECIO UNIT. (MXN)</t>
        </is>
      </c>
      <c r="F12" s="12" t="inlineStr">
        <is>
          <t>IMPORTE (MXN)</t>
        </is>
      </c>
    </row>
    <row r="13" ht="20" customHeight="1">
      <c r="A13" s="13" t="n">
        <v>1</v>
      </c>
      <c r="B13" s="14" t="inlineStr">
        <is>
          <t>Servicio de Diseño y Desarrollo de Sitio Web Profesional</t>
        </is>
      </c>
      <c r="C13" s="15" t="n">
        <v>1</v>
      </c>
      <c r="D13" s="13" t="inlineStr">
        <is>
          <t>Servicio</t>
        </is>
      </c>
      <c r="E13" s="16" t="n">
        <v>8500</v>
      </c>
      <c r="F13" s="17">
        <f>IF(AND(ISNUMBER(C13),ISNUMBER(E13)),C13*E13,"")</f>
        <v/>
      </c>
    </row>
    <row r="14" ht="20" customHeight="1">
      <c r="A14" s="13" t="n">
        <v>2</v>
      </c>
      <c r="B14" s="14" t="inlineStr">
        <is>
          <t>Configuración de Dominio, Hosting Corporativo y SSL (1 Año)</t>
        </is>
      </c>
      <c r="C14" s="15" t="n">
        <v>1</v>
      </c>
      <c r="D14" s="13" t="inlineStr">
        <is>
          <t>Servicio</t>
        </is>
      </c>
      <c r="E14" s="16" t="n">
        <v>2200</v>
      </c>
      <c r="F14" s="17">
        <f>IF(AND(ISNUMBER(C14),ISNUMBER(E14)),C14*E14,"")</f>
        <v/>
      </c>
    </row>
    <row r="15" ht="20" customHeight="1">
      <c r="A15" s="13" t="n">
        <v>3</v>
      </c>
      <c r="B15" s="14" t="inlineStr">
        <is>
          <t>Capacitación de Personal y Manual de Uso en PDF</t>
        </is>
      </c>
      <c r="C15" s="15" t="n">
        <v>1</v>
      </c>
      <c r="D15" s="13" t="inlineStr">
        <is>
          <t>Paquete</t>
        </is>
      </c>
      <c r="E15" s="16" t="n">
        <v>1800</v>
      </c>
      <c r="F15" s="17">
        <f>IF(AND(ISNUMBER(C15),ISNUMBER(E15)),C15*E15,"")</f>
        <v/>
      </c>
    </row>
    <row r="16" ht="20" customHeight="1">
      <c r="A16" s="13" t="n">
        <v>4</v>
      </c>
      <c r="B16" s="14" t="inlineStr">
        <is>
          <t>Póliza Mensual de Soporte y Mantenimiento Web</t>
        </is>
      </c>
      <c r="C16" s="15" t="n">
        <v>2</v>
      </c>
      <c r="D16" s="13" t="inlineStr">
        <is>
          <t>Mes</t>
        </is>
      </c>
      <c r="E16" s="16" t="n">
        <v>1200</v>
      </c>
      <c r="F16" s="17">
        <f>IF(AND(ISNUMBER(C16),ISNUMBER(E16)),C16*E16,"")</f>
        <v/>
      </c>
    </row>
    <row r="17" ht="20" customHeight="1">
      <c r="A17" s="13" t="n">
        <v>5</v>
      </c>
      <c r="B17" s="14" t="inlineStr"/>
      <c r="C17" s="15" t="inlineStr"/>
      <c r="D17" s="13" t="inlineStr"/>
      <c r="E17" s="16" t="inlineStr"/>
      <c r="F17" s="17">
        <f>IF(AND(ISNUMBER(C17),ISNUMBER(E17)),C17*E17,"")</f>
        <v/>
      </c>
    </row>
    <row r="18" ht="20" customHeight="1">
      <c r="A18" s="13" t="n">
        <v>6</v>
      </c>
      <c r="B18" s="14" t="inlineStr"/>
      <c r="C18" s="15" t="inlineStr"/>
      <c r="D18" s="13" t="inlineStr"/>
      <c r="E18" s="16" t="inlineStr"/>
      <c r="F18" s="17">
        <f>IF(AND(ISNUMBER(C18),ISNUMBER(E18)),C18*E18,"")</f>
        <v/>
      </c>
    </row>
    <row r="19" ht="20" customHeight="1">
      <c r="A19" s="13" t="n">
        <v>7</v>
      </c>
      <c r="B19" s="14" t="inlineStr"/>
      <c r="C19" s="15" t="inlineStr"/>
      <c r="D19" s="13" t="inlineStr"/>
      <c r="E19" s="16" t="inlineStr"/>
      <c r="F19" s="17">
        <f>IF(AND(ISNUMBER(C19),ISNUMBER(E19)),C19*E19,"")</f>
        <v/>
      </c>
    </row>
    <row r="20" ht="20" customHeight="1">
      <c r="A20" s="13" t="n">
        <v>8</v>
      </c>
      <c r="B20" s="14" t="inlineStr"/>
      <c r="C20" s="15" t="inlineStr"/>
      <c r="D20" s="13" t="inlineStr"/>
      <c r="E20" s="16" t="inlineStr"/>
      <c r="F20" s="17">
        <f>IF(AND(ISNUMBER(C20),ISNUMBER(E20)),C20*E20,"")</f>
        <v/>
      </c>
    </row>
    <row r="22">
      <c r="A22" s="8" t="inlineStr">
        <is>
          <t>TÉRMINOS Y CONDICIONES COMERCIALES</t>
        </is>
      </c>
      <c r="E22" s="18" t="inlineStr">
        <is>
          <t>SUBTOTAL:</t>
        </is>
      </c>
      <c r="F22" s="19">
        <f>SUM(F13:F20)</f>
        <v/>
      </c>
    </row>
    <row r="23">
      <c r="A23" s="9" t="inlineStr">
        <is>
          <t>• Validez de la oferta: 15 días naturales a partir de la fecha de emisión.</t>
        </is>
      </c>
      <c r="E23" s="20" t="inlineStr">
        <is>
          <t>DESCUENTO (0%):</t>
        </is>
      </c>
      <c r="F23" s="21" t="n">
        <v>0</v>
      </c>
    </row>
    <row r="24">
      <c r="A24" s="9" t="inlineStr">
        <is>
          <t>• Condiciones de pago: 50% de anticipo al confirmar, 50% contra entrega final.</t>
        </is>
      </c>
      <c r="E24" s="20" t="inlineStr">
        <is>
          <t>SUBTOTAL C/ DESC:</t>
        </is>
      </c>
      <c r="F24" s="21">
        <f>F22-F23</f>
        <v/>
      </c>
    </row>
    <row r="25">
      <c r="A25" s="9" t="inlineStr">
        <is>
          <t>• Tiempo de entrega estimado: 7 a 10 días hábiles posteriores al anticipo.</t>
        </is>
      </c>
      <c r="E25" s="20" t="inlineStr">
        <is>
          <t>IVA (16%):</t>
        </is>
      </c>
      <c r="F25" s="21">
        <f>F24*0.16</f>
        <v/>
      </c>
    </row>
    <row r="26">
      <c r="A26" s="9" t="inlineStr">
        <is>
          <t>• Datos Bancarios: BBVA Bancomer | Beneficiario: Tu Negocio S.A. de C.V.</t>
        </is>
      </c>
      <c r="E26" s="22" t="inlineStr">
        <is>
          <t>TOTAL (MXN):</t>
        </is>
      </c>
      <c r="F26" s="23">
        <f>F24+F25</f>
        <v/>
      </c>
    </row>
    <row r="27">
      <c r="A27" s="9" t="inlineStr">
        <is>
          <t>• CLABE Interbancaria: 012 180 0000000000 0 | Cuenta: 0000000000</t>
        </is>
      </c>
    </row>
    <row r="29">
      <c r="A29" s="24" t="inlineStr">
        <is>
          <t>🚀 ¿Cansado de enviar cotizaciones en Excel? Con COTÍZALO creas propuestas digitales, las envías por WhatsApp y recibes alerta cuando tu cliente las abre. Pruébalo gratis en https://cotizalo.net</t>
        </is>
      </c>
    </row>
    <row r="30"/>
  </sheetData>
  <mergeCells count="2">
    <mergeCell ref="E2:F2"/>
    <mergeCell ref="A29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2026-09-18T16:42:25Z</dcterms:created>
  <dcterms:modified xsi:type="dcterms:W3CDTF">2026-09-18T16:42:25Z</dcterms:modified>
</cp:coreProperties>
</file>